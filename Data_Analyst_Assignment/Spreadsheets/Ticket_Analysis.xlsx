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Pivot Table 1" sheetId="2" r:id="rId6"/>
    <sheet state="visible" name="feedbacks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<sst xmlns="http://schemas.openxmlformats.org/spreadsheetml/2006/main" count="34" uniqueCount="24">
  <si>
    <t>ticket_id</t>
  </si>
  <si>
    <t>created_at</t>
  </si>
  <si>
    <t>closed_at</t>
  </si>
  <si>
    <t>outlet_id</t>
  </si>
  <si>
    <t>cms_id</t>
  </si>
  <si>
    <t>Same Day?</t>
  </si>
  <si>
    <t>Same Hour?</t>
  </si>
  <si>
    <t>isu-sjd-457</t>
  </si>
  <si>
    <t xml:space="preserve">wrqy-juv-978 </t>
  </si>
  <si>
    <t>vew-iuvd-12</t>
  </si>
  <si>
    <t>qer-fal-092</t>
  </si>
  <si>
    <t>8woh-k3u-23b</t>
  </si>
  <si>
    <t>cms-002</t>
  </si>
  <si>
    <t>abc-xyz-123</t>
  </si>
  <si>
    <t>wrqy-juv-978</t>
  </si>
  <si>
    <t>cms-003</t>
  </si>
  <si>
    <t>lmn-opq-456</t>
  </si>
  <si>
    <t>cms-004</t>
  </si>
  <si>
    <t>SUM of Same Day?</t>
  </si>
  <si>
    <t>SUM of Same Hour?</t>
  </si>
  <si>
    <t>Grand Total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</si>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</sst>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i/>
      <color rgb="FF3C4042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5" sheet="ticket"/>
  </cacheSource>
  <cacheFields>
    <cacheField name="ticket_id" numFmtId="0">
      <sharedItems>
        <s v="isu-sjd-457"/>
        <s v="qer-fal-092"/>
        <s v="abc-xyz-123"/>
        <s v="lmn-opq-456"/>
      </sharedItems>
    </cacheField>
    <cacheField name="created_at" numFmtId="164">
      <sharedItems containsSemiMixedTypes="0" containsDate="1" containsString="0">
        <d v="2021-08-19T16:45:43Z"/>
        <d v="2021-08-21T11:09:22Z"/>
        <d v="2021-08-21T10:00:00Z"/>
        <d v="2021-08-22T09:15:10Z"/>
      </sharedItems>
    </cacheField>
    <cacheField name="closed_at" numFmtId="164">
      <sharedItems containsSemiMixedTypes="0" containsDate="1" containsString="0">
        <d v="2021-08-22T12:33:32Z"/>
        <d v="2021-08-21T17:13:45Z"/>
        <d v="2021-08-21T10:30:00Z"/>
        <d v="2021-08-22T09:15:50Z"/>
      </sharedItems>
    </cacheField>
    <cacheField name="outlet_id" numFmtId="0">
      <sharedItems>
        <s v="wrqy-juv-978 "/>
        <s v="8woh-k3u-23b"/>
        <s v="wrqy-juv-978"/>
      </sharedItems>
    </cacheField>
    <cacheField name="cms_id" numFmtId="0">
      <sharedItems>
        <s v="vew-iuvd-12"/>
        <s v="cms-002"/>
        <s v="cms-003"/>
        <s v="cms-004"/>
      </sharedItems>
    </cacheField>
    <cacheField name="Same Day?" numFmtId="0">
      <sharedItems containsSemiMixedTypes="0" containsString="0" containsNumber="1" containsInteger="1">
        <n v="0.0"/>
        <n v="1.0"/>
      </sharedItems>
    </cacheField>
    <cacheField name="Same Hour?" numFmtId="0">
      <sharedItems containsSemiMixedTypes="0" containsString="0" containsNumber="1" containsInteger="1">
        <n v="0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5" firstHeaderRow="0" firstDataRow="2" firstDataCol="0"/>
  <pivotFields>
    <pivotField name="ticket_id" compact="0" outline="0" multipleItemSelectionAllowed="1" showAll="0">
      <items>
        <item x="0"/>
        <item x="1"/>
        <item x="2"/>
        <item x="3"/>
        <item t="default"/>
      </items>
    </pivotField>
    <pivotField name="created_at" compact="0" numFmtId="164" outline="0" multipleItemSelectionAllowed="1" showAll="0">
      <items>
        <item x="0"/>
        <item x="1"/>
        <item x="2"/>
        <item x="3"/>
        <item t="default"/>
      </items>
    </pivotField>
    <pivotField name="closed_at" compact="0" numFmtId="164" outline="0" multipleItemSelectionAllowed="1" showAll="0">
      <items>
        <item x="0"/>
        <item x="1"/>
        <item x="2"/>
        <item x="3"/>
        <item t="default"/>
      </items>
    </pivotField>
    <pivotField name="outlet_id" axis="axisRow" compact="0" outline="0" multipleItemSelectionAllowed="1" showAll="0" sortType="ascending">
      <items>
        <item x="1"/>
        <item x="2"/>
        <item x="0"/>
        <item t="default"/>
      </items>
    </pivotField>
    <pivotField name="cms_id" compact="0" outline="0" multipleItemSelectionAllowed="1" showAll="0">
      <items>
        <item x="0"/>
        <item x="1"/>
        <item x="2"/>
        <item x="3"/>
        <item t="default"/>
      </items>
    </pivotField>
    <pivotField name="Same Day?" dataField="1" compact="0" outline="0" multipleItemSelectionAllowed="1" showAll="0">
      <items>
        <item x="0"/>
        <item x="1"/>
        <item t="default"/>
      </items>
    </pivotField>
    <pivotField name="Same Hour?" dataField="1" compact="0" outline="0" multipleItemSelectionAllowed="1" showAll="0">
      <items>
        <item x="0"/>
        <item x="1"/>
        <item t="default"/>
      </items>
    </pivotField>
  </pivotFields>
  <rowFields>
    <field x="3"/>
  </rowFields>
  <colFields>
    <field x="-2"/>
  </colFields>
  <dataFields>
    <dataField name="SUM of Same Day?" fld="5" baseField="0"/>
    <dataField name="SUM of Same Hour?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44427.69841435185</v>
      </c>
      <c r="C2" s="2">
        <v>44430.52328703704</v>
      </c>
      <c r="D2" s="1" t="s">
        <v>8</v>
      </c>
      <c r="E2" s="3" t="s">
        <v>9</v>
      </c>
      <c r="F2" s="4">
        <f t="shared" ref="F2:F5" si="1">IF(INT(B2)=INT(C2),1,0)</f>
        <v>0</v>
      </c>
      <c r="G2" s="4">
        <f t="shared" ref="G2:G5" si="2">IF(HOUR(B2)=HOUR(C2),1,0)</f>
        <v>0</v>
      </c>
    </row>
    <row r="3">
      <c r="A3" s="5" t="s">
        <v>10</v>
      </c>
      <c r="B3" s="2">
        <v>44429.464837962965</v>
      </c>
      <c r="C3" s="2">
        <v>44429.717881944445</v>
      </c>
      <c r="D3" s="5" t="s">
        <v>11</v>
      </c>
      <c r="E3" s="1" t="s">
        <v>12</v>
      </c>
      <c r="F3" s="4">
        <f t="shared" si="1"/>
        <v>1</v>
      </c>
      <c r="G3" s="4">
        <f t="shared" si="2"/>
        <v>0</v>
      </c>
    </row>
    <row r="4">
      <c r="A4" s="1" t="s">
        <v>13</v>
      </c>
      <c r="B4" s="6">
        <v>44429.416666666664</v>
      </c>
      <c r="C4" s="6">
        <v>44429.4375</v>
      </c>
      <c r="D4" s="1" t="s">
        <v>14</v>
      </c>
      <c r="E4" s="1" t="s">
        <v>15</v>
      </c>
      <c r="F4" s="4">
        <f t="shared" si="1"/>
        <v>1</v>
      </c>
      <c r="G4" s="4">
        <f t="shared" si="2"/>
        <v>1</v>
      </c>
    </row>
    <row r="5">
      <c r="A5" s="1" t="s">
        <v>16</v>
      </c>
      <c r="B5" s="6">
        <v>44430.38553240741</v>
      </c>
      <c r="C5" s="6">
        <v>44430.38599537037</v>
      </c>
      <c r="D5" s="1" t="s">
        <v>11</v>
      </c>
      <c r="E5" s="1" t="s">
        <v>17</v>
      </c>
      <c r="F5" s="4">
        <f t="shared" si="1"/>
        <v>1</v>
      </c>
      <c r="G5" s="4">
        <f t="shared" si="2"/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0"/>
    <col customWidth="1" min="2" max="2" width="22.25"/>
    <col customWidth="1" min="3" max="3" width="26.75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15.38"/>
    <col customWidth="1" min="4" max="4" width="15.88"/>
  </cols>
  <sheetData>
    <row r="1">
      <c r="A1" s="1" t="s">
        <v>4</v>
      </c>
      <c r="B1" s="1" t="s">
        <v>21</v>
      </c>
      <c r="C1" s="1" t="s">
        <v>22</v>
      </c>
      <c r="D1" s="1" t="s">
        <v>23</v>
      </c>
    </row>
    <row r="2">
      <c r="A2" s="3" t="s">
        <v>9</v>
      </c>
      <c r="B2" s="2">
        <v>44429.560277777775</v>
      </c>
      <c r="C2" s="1">
        <v>3.0</v>
      </c>
      <c r="D2" s="7">
        <f t="array" ref="D2">INDEX(ticket!B:B, MATCH(A2, ticket!E:E, 0))</f>
        <v>44427.69841</v>
      </c>
    </row>
    <row r="3">
      <c r="A3" s="1" t="s">
        <v>12</v>
      </c>
      <c r="B3" s="6">
        <v>44429.75</v>
      </c>
      <c r="C3" s="1">
        <v>4.0</v>
      </c>
      <c r="D3" s="7">
        <f t="array" ref="D3">INDEX(ticket!B:B, MATCH(A3, ticket!E:E, 0))</f>
        <v>44429.46484</v>
      </c>
    </row>
    <row r="4">
      <c r="A4" s="1" t="s">
        <v>15</v>
      </c>
      <c r="B4" s="6">
        <v>44429.458333333336</v>
      </c>
      <c r="C4" s="1">
        <v>5.0</v>
      </c>
      <c r="D4" s="7">
        <f t="array" ref="D4">INDEX(ticket!B:B, MATCH(A4, ticket!E:E, 0))</f>
        <v>44429.41667</v>
      </c>
    </row>
    <row r="5">
      <c r="A5" s="1" t="s">
        <v>17</v>
      </c>
      <c r="B5" s="6">
        <v>44430.416666666664</v>
      </c>
      <c r="C5" s="1">
        <v>2.0</v>
      </c>
      <c r="D5" s="7">
        <f t="array" ref="D5">INDEX(ticket!B:B, MATCH(A5, ticket!E:E, 0))</f>
        <v>44430.38553</v>
      </c>
    </row>
  </sheetData>
  <drawing r:id="rId1"/>
</worksheet>
</file>